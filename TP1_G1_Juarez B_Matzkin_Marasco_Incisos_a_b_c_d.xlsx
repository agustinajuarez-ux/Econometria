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ocuments\Facultad\Econometria\"/>
    </mc:Choice>
  </mc:AlternateContent>
  <xr:revisionPtr revIDLastSave="0" documentId="13_ncr:1_{1C8F4212-1122-419C-B7C7-13B733F9E2CE}" xr6:coauthVersionLast="47" xr6:coauthVersionMax="47" xr10:uidLastSave="{00000000-0000-0000-0000-000000000000}"/>
  <bookViews>
    <workbookView xWindow="-120" yWindow="-120" windowWidth="51840" windowHeight="21120" activeTab="1" xr2:uid="{E0D43DB2-2AD3-4A27-AB5A-1EE89B73A529}"/>
  </bookViews>
  <sheets>
    <sheet name="Gráfico de serie" sheetId="1" r:id="rId1"/>
    <sheet name="Análisis de Serie" sheetId="2" r:id="rId2"/>
    <sheet name="Hoja4" sheetId="4" r:id="rId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3" i="1" l="1"/>
  <c r="O3" i="1"/>
</calcChain>
</file>

<file path=xl/sharedStrings.xml><?xml version="1.0" encoding="utf-8"?>
<sst xmlns="http://schemas.openxmlformats.org/spreadsheetml/2006/main" count="72" uniqueCount="72">
  <si>
    <t>Servicios para prácticas deportivas</t>
  </si>
  <si>
    <t>1° Trim 2010</t>
  </si>
  <si>
    <t>2° Trim 2010</t>
  </si>
  <si>
    <t>3° Trim 2010</t>
  </si>
  <si>
    <t>4° Trim 2010</t>
  </si>
  <si>
    <t>1° Trim 2011</t>
  </si>
  <si>
    <t>2° Trim 2011</t>
  </si>
  <si>
    <t>3° Trim 2011</t>
  </si>
  <si>
    <t>4° Trim 2011</t>
  </si>
  <si>
    <t>1° Trim 2012</t>
  </si>
  <si>
    <t>2° Trim 2012</t>
  </si>
  <si>
    <t>3° Trim 2012</t>
  </si>
  <si>
    <t>4° Trim 2012</t>
  </si>
  <si>
    <t>1° Trim 2013</t>
  </si>
  <si>
    <t>2° Trim 2013</t>
  </si>
  <si>
    <t>3° Trim 2013</t>
  </si>
  <si>
    <t>4° Trim 2013</t>
  </si>
  <si>
    <t>1° Trim 2014</t>
  </si>
  <si>
    <t>2° Trim 2014</t>
  </si>
  <si>
    <t>3° Trim 2014</t>
  </si>
  <si>
    <t>4° Trim 2014</t>
  </si>
  <si>
    <t>1° Trim 2015</t>
  </si>
  <si>
    <t>2° Trim 2015</t>
  </si>
  <si>
    <t>3° Trim 2015</t>
  </si>
  <si>
    <t>4° Trim 2015</t>
  </si>
  <si>
    <t>1° Trim 2016</t>
  </si>
  <si>
    <t>2° Trim 2016</t>
  </si>
  <si>
    <t>3° Trim 2016</t>
  </si>
  <si>
    <t>4° Trim 2016</t>
  </si>
  <si>
    <t>1° Trim 2017</t>
  </si>
  <si>
    <t>2° Trim 2017</t>
  </si>
  <si>
    <t>3° Trim 2017</t>
  </si>
  <si>
    <t>4° Trim 2017</t>
  </si>
  <si>
    <t>1° Trim 2018</t>
  </si>
  <si>
    <t>2° Trim 2018</t>
  </si>
  <si>
    <t>3° Trim 2018</t>
  </si>
  <si>
    <t>4° Trim 2018</t>
  </si>
  <si>
    <t>1° Trim 2019</t>
  </si>
  <si>
    <t>2° Trim 2019</t>
  </si>
  <si>
    <t>3° Trim 2019</t>
  </si>
  <si>
    <t>4° Trim 2019</t>
  </si>
  <si>
    <t>1° Trim 2020</t>
  </si>
  <si>
    <t>2° Trim 2020</t>
  </si>
  <si>
    <t>3° Trim 2020</t>
  </si>
  <si>
    <t>4° Trim 2020</t>
  </si>
  <si>
    <t>1° Trim 2021</t>
  </si>
  <si>
    <t>2° Trim 2021</t>
  </si>
  <si>
    <t>3° Trim 2021</t>
  </si>
  <si>
    <t>4° Trim 2021</t>
  </si>
  <si>
    <t>1° Trim 2022</t>
  </si>
  <si>
    <t>2° Trim 2022</t>
  </si>
  <si>
    <t>3° Trim 2022</t>
  </si>
  <si>
    <t>4° Trim 2022</t>
  </si>
  <si>
    <t>1° Trim 2023</t>
  </si>
  <si>
    <t>2° Trim 2023</t>
  </si>
  <si>
    <t>3° Trim 2023</t>
  </si>
  <si>
    <t>4° Trim 2023</t>
  </si>
  <si>
    <t>1° Trim 2024</t>
  </si>
  <si>
    <t>2° Trim 2024</t>
  </si>
  <si>
    <t>3° Trim 2024</t>
  </si>
  <si>
    <t>4° Trim 2024</t>
  </si>
  <si>
    <t>1° Trim 2025</t>
  </si>
  <si>
    <t>2° Trim 2025</t>
  </si>
  <si>
    <t>3° Trim 2025</t>
  </si>
  <si>
    <t>4° Trim 2025</t>
  </si>
  <si>
    <t>Columna1</t>
  </si>
  <si>
    <t>Media</t>
  </si>
  <si>
    <t>Desvío</t>
  </si>
  <si>
    <t xml:space="preserve">La serie presenta estacionalidad fuerte y regular, con pico todos los años en el 3er trimestre (julio a septiembre), muy por encima del resto de trimestres. Esto no es nada irregular, ya que coincide con la temporada de esquí en Mendoza, lo que representa una gran suba de los servicios para prácticas deportivas en distintos centros de nieve (Las Leñas, Los Penitentes, etc).
Tendencia 2010-2019: crece levemente, repitiendo el patrón del tercer trimestre estable año a año.
En el 2020, con la pandemia, se frena la economía en general, lo cual también impacata en los servicios para prácticas deportivas, ya que lógicamente no abrieron los centros de ski dicho año.
En 2021 empieza la recuperación tras la crisis económica del sector, sufrida debido a la pandema, pero no se termina de afianzar en los niveles anteriores a 2020. Desde 2022 en adelante ya hay un retorno pleno del patrón estacional, incluso hay una mejor situación, con niveles de empleo más altos, y nuevamente con una tendencia a crecer levemente año a año. Solo en 2025 no creció más el sector que en 2024, pero aún así, no fue una caída gigantesca.                                                                                                                                                                   Artículo de 2024 mencionando el impacto de Las Leñas en Mendoza: https://mensajero.com.ar/tendencia/balance-de-los-centros-de-esqui-durante-el-receso-invernal-_a66ace43ab18f829d99322c4e                                                                                                             Artículo de 2025 que explica la leve caída de la actividad en ese año: https://www.sitioandino.com.ar/departamentales/mendoza-nieve-y-la-preocupacion-del-sector-turistico-se-nos-complica-que-no-este-este-atractivo-n5703625                                                                                                                                                                                                            Artículo de 2020 que ejemplifica como no abrieron los centros de esquí, ergo, cayó la actividad del sector: https://www.lugaresdenieve.com/?q=es/noticia/las-lenas-argentina-no-abrira-para-la-temporada-esqui-2020-debido-coronavirus          </t>
  </si>
  <si>
    <t>INCISO B</t>
  </si>
  <si>
    <t>INCISO D</t>
  </si>
  <si>
    <t xml:space="preserve">Ciclo estacional estructural: relacionado a la temporada invernal de montaña, repetido con regularidad casi todos los años menos 2020-2021.
Shock pandemia (2020): Debido a la pandemia, ningún centro de esquí abrió sus puertas dicho año, y se redujeron fuertemente las actividades económicas que generan empleos en servicios para prácticas deportivas en dicho. Por estas razones, cayó fuertemente la actividad del sector, cuando venía de una suba leve pero constante y con una estacionalidad marcada
Recuperación gradual (2021): Se llevó a cabo una reapertura parcial con protocolos y capacidad reducida. Reaparece la  estacionalidad pero atenuada.
Reactivación post-pandemia (2022-2023): Se reactiva fuertemente el turismo en Argentina tras las restricciones.
Nivel post-2023 más alto que la serie histórica: la temporada 2024 de Las Leñas y Penitentes cerró con "récord de visitantes", tanto de Mendoza como de otras provincias y del exterior, lo que es consistente con los valores más altos de toda la serie en 2023-2025. Puede vincularse con el abaratamiento en dólares de Argentina como destino turístico tras la devaluación de dic-2023, que favoreció al turismo receptivo.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</si>
</sst>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name val="Arial"/>
      <family val="2"/>
    </font>
    <font>
      <sz val="8"/>
      <name val="Courier"/>
      <family val="3"/>
    </font>
    <font>
      <b/>
      <sz val="8"/>
      <color theme="1"/>
      <name val="Arial"/>
      <family val="2"/>
    </font>
    <font>
      <sz val="10"/>
      <color theme="1"/>
      <name val="Arial"/>
      <family val="2"/>
    </font>
    <font>
      <b/>
      <sz val="11"/>
      <color theme="1"/>
      <name val="Calibri"/>
      <family val="2"/>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000080"/>
      </left>
      <right/>
      <top style="medium">
        <color rgb="FF000080"/>
      </top>
      <bottom style="medium">
        <color rgb="FF000080"/>
      </bottom>
      <diagonal/>
    </border>
    <border>
      <left style="medium">
        <color rgb="FFCCCCCC"/>
      </left>
      <right/>
      <top style="medium">
        <color rgb="FF000080"/>
      </top>
      <bottom style="medium">
        <color rgb="FF000080"/>
      </bottom>
      <diagonal/>
    </border>
  </borders>
  <cellStyleXfs count="3">
    <xf numFmtId="0" fontId="0" fillId="0" borderId="0"/>
    <xf numFmtId="0" fontId="2" fillId="0" borderId="0"/>
    <xf numFmtId="0" fontId="1" fillId="0" borderId="0" applyNumberFormat="0" applyFill="0" applyBorder="0" applyAlignment="0" applyProtection="0"/>
  </cellStyleXfs>
  <cellXfs count="9">
    <xf numFmtId="0" fontId="0" fillId="0" borderId="0" xfId="0"/>
    <xf numFmtId="3" fontId="0" fillId="0" borderId="0" xfId="0" applyNumberFormat="1"/>
    <xf numFmtId="0" fontId="4" fillId="2" borderId="1" xfId="0" applyFont="1" applyFill="1" applyBorder="1" applyAlignment="1">
      <alignment wrapText="1"/>
    </xf>
    <xf numFmtId="0" fontId="3" fillId="2" borderId="2" xfId="0" applyFont="1" applyFill="1" applyBorder="1" applyAlignment="1">
      <alignment horizontal="center" wrapText="1"/>
    </xf>
    <xf numFmtId="0" fontId="3" fillId="2" borderId="3" xfId="0" applyFont="1" applyFill="1" applyBorder="1" applyAlignment="1">
      <alignment horizontal="center" wrapText="1"/>
    </xf>
    <xf numFmtId="0" fontId="0" fillId="0" borderId="0" xfId="0" applyAlignment="1"/>
    <xf numFmtId="0" fontId="0" fillId="0" borderId="0" xfId="0" applyAlignment="1">
      <alignment wrapText="1"/>
    </xf>
    <xf numFmtId="0" fontId="0" fillId="0" borderId="0" xfId="0" applyAlignment="1">
      <alignment horizontal="center" wrapText="1"/>
    </xf>
    <xf numFmtId="0" fontId="5" fillId="0" borderId="0" xfId="0" applyFont="1" applyAlignment="1">
      <alignment horizontal="center" wrapText="1"/>
    </xf>
  </cellXfs>
  <cellStyles count="3">
    <cellStyle name="ANCLAS,REZONES Y SUS PARTES,DE FUNDICION,DE HIERRO O DE ACERO 2" xfId="2" xr:uid="{18CC7635-C5D5-48E8-B2A3-1D0F12D1BB1B}"/>
    <cellStyle name="Normal" xfId="0" builtinId="0"/>
    <cellStyle name="Normal 2" xfId="1" xr:uid="{3AA35C2E-588F-4829-A5A8-C6DD085FEF11}"/>
  </cellStyles>
  <dxfs count="2">
    <dxf>
      <numFmt numFmtId="3" formatCode="#,##0"/>
    </dxf>
    <dxf>
      <font>
        <b/>
        <i val="0"/>
        <strike val="0"/>
        <condense val="0"/>
        <extend val="0"/>
        <outline val="0"/>
        <shadow val="0"/>
        <u val="none"/>
        <vertAlign val="baseline"/>
        <sz val="8"/>
        <color theme="1"/>
        <name val="Arial"/>
        <family val="2"/>
        <scheme val="none"/>
      </font>
      <fill>
        <patternFill patternType="solid">
          <fgColor indexed="64"/>
          <bgColor rgb="FFFFFFFF"/>
        </patternFill>
      </fill>
      <alignment horizontal="center" vertical="bottom" textRotation="0" wrapText="1" indent="0" justifyLastLine="0" shrinkToFit="0" readingOrder="0"/>
      <border diagonalUp="0" diagonalDown="0">
        <left style="medium">
          <color rgb="FFCCCCCC"/>
        </left>
        <right/>
        <top style="medium">
          <color rgb="FF000080"/>
        </top>
        <bottom style="medium">
          <color rgb="FF00008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Servicios</a:t>
            </a:r>
            <a:r>
              <a:rPr lang="es-AR" baseline="0"/>
              <a:t> para prácticas deportivas</a:t>
            </a:r>
            <a:endParaRPr lang="es-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lineChart>
        <c:grouping val="standard"/>
        <c:varyColors val="0"/>
        <c:ser>
          <c:idx val="0"/>
          <c:order val="0"/>
          <c:tx>
            <c:strRef>
              <c:f>'Gráfico de serie'!$B$1</c:f>
              <c:strCache>
                <c:ptCount val="1"/>
                <c:pt idx="0">
                  <c:v>Servicios para prácticas deportivas</c:v>
                </c:pt>
              </c:strCache>
            </c:strRef>
          </c:tx>
          <c:spPr>
            <a:ln w="28575" cap="rnd">
              <a:solidFill>
                <a:schemeClr val="accent1"/>
              </a:solidFill>
              <a:round/>
            </a:ln>
            <a:effectLst/>
          </c:spPr>
          <c:marker>
            <c:symbol val="none"/>
          </c:marker>
          <c:cat>
            <c:strRef>
              <c:f>'Gráfico de serie'!$A$2:$A$65</c:f>
              <c:strCache>
                <c:ptCount val="64"/>
                <c:pt idx="0">
                  <c:v>1° Trim 2010</c:v>
                </c:pt>
                <c:pt idx="1">
                  <c:v>2° Trim 2010</c:v>
                </c:pt>
                <c:pt idx="2">
                  <c:v>3° Trim 2010</c:v>
                </c:pt>
                <c:pt idx="3">
                  <c:v>4° Trim 2010</c:v>
                </c:pt>
                <c:pt idx="4">
                  <c:v>1° Trim 2011</c:v>
                </c:pt>
                <c:pt idx="5">
                  <c:v>2° Trim 2011</c:v>
                </c:pt>
                <c:pt idx="6">
                  <c:v>3° Trim 2011</c:v>
                </c:pt>
                <c:pt idx="7">
                  <c:v>4° Trim 2011</c:v>
                </c:pt>
                <c:pt idx="8">
                  <c:v>1° Trim 2012</c:v>
                </c:pt>
                <c:pt idx="9">
                  <c:v>2° Trim 2012</c:v>
                </c:pt>
                <c:pt idx="10">
                  <c:v>3° Trim 2012</c:v>
                </c:pt>
                <c:pt idx="11">
                  <c:v>4° Trim 2012</c:v>
                </c:pt>
                <c:pt idx="12">
                  <c:v>1° Trim 2013</c:v>
                </c:pt>
                <c:pt idx="13">
                  <c:v>2° Trim 2013</c:v>
                </c:pt>
                <c:pt idx="14">
                  <c:v>3° Trim 2013</c:v>
                </c:pt>
                <c:pt idx="15">
                  <c:v>4° Trim 2013</c:v>
                </c:pt>
                <c:pt idx="16">
                  <c:v>1° Trim 2014</c:v>
                </c:pt>
                <c:pt idx="17">
                  <c:v>2° Trim 2014</c:v>
                </c:pt>
                <c:pt idx="18">
                  <c:v>3° Trim 2014</c:v>
                </c:pt>
                <c:pt idx="19">
                  <c:v>4° Trim 2014</c:v>
                </c:pt>
                <c:pt idx="20">
                  <c:v>1° Trim 2015</c:v>
                </c:pt>
                <c:pt idx="21">
                  <c:v>2° Trim 2015</c:v>
                </c:pt>
                <c:pt idx="22">
                  <c:v>3° Trim 2015</c:v>
                </c:pt>
                <c:pt idx="23">
                  <c:v>4° Trim 2015</c:v>
                </c:pt>
                <c:pt idx="24">
                  <c:v>1° Trim 2016</c:v>
                </c:pt>
                <c:pt idx="25">
                  <c:v>2° Trim 2016</c:v>
                </c:pt>
                <c:pt idx="26">
                  <c:v>3° Trim 2016</c:v>
                </c:pt>
                <c:pt idx="27">
                  <c:v>4° Trim 2016</c:v>
                </c:pt>
                <c:pt idx="28">
                  <c:v>1° Trim 2017</c:v>
                </c:pt>
                <c:pt idx="29">
                  <c:v>2° Trim 2017</c:v>
                </c:pt>
                <c:pt idx="30">
                  <c:v>3° Trim 2017</c:v>
                </c:pt>
                <c:pt idx="31">
                  <c:v>4° Trim 2017</c:v>
                </c:pt>
                <c:pt idx="32">
                  <c:v>1° Trim 2018</c:v>
                </c:pt>
                <c:pt idx="33">
                  <c:v>2° Trim 2018</c:v>
                </c:pt>
                <c:pt idx="34">
                  <c:v>3° Trim 2018</c:v>
                </c:pt>
                <c:pt idx="35">
                  <c:v>4° Trim 2018</c:v>
                </c:pt>
                <c:pt idx="36">
                  <c:v>1° Trim 2019</c:v>
                </c:pt>
                <c:pt idx="37">
                  <c:v>2° Trim 2019</c:v>
                </c:pt>
                <c:pt idx="38">
                  <c:v>3° Trim 2019</c:v>
                </c:pt>
                <c:pt idx="39">
                  <c:v>4° Trim 2019</c:v>
                </c:pt>
                <c:pt idx="40">
                  <c:v>1° Trim 2020</c:v>
                </c:pt>
                <c:pt idx="41">
                  <c:v>2° Trim 2020</c:v>
                </c:pt>
                <c:pt idx="42">
                  <c:v>3° Trim 2020</c:v>
                </c:pt>
                <c:pt idx="43">
                  <c:v>4° Trim 2020</c:v>
                </c:pt>
                <c:pt idx="44">
                  <c:v>1° Trim 2021</c:v>
                </c:pt>
                <c:pt idx="45">
                  <c:v>2° Trim 2021</c:v>
                </c:pt>
                <c:pt idx="46">
                  <c:v>3° Trim 2021</c:v>
                </c:pt>
                <c:pt idx="47">
                  <c:v>4° Trim 2021</c:v>
                </c:pt>
                <c:pt idx="48">
                  <c:v>1° Trim 2022</c:v>
                </c:pt>
                <c:pt idx="49">
                  <c:v>2° Trim 2022</c:v>
                </c:pt>
                <c:pt idx="50">
                  <c:v>3° Trim 2022</c:v>
                </c:pt>
                <c:pt idx="51">
                  <c:v>4° Trim 2022</c:v>
                </c:pt>
                <c:pt idx="52">
                  <c:v>1° Trim 2023</c:v>
                </c:pt>
                <c:pt idx="53">
                  <c:v>2° Trim 2023</c:v>
                </c:pt>
                <c:pt idx="54">
                  <c:v>3° Trim 2023</c:v>
                </c:pt>
                <c:pt idx="55">
                  <c:v>4° Trim 2023</c:v>
                </c:pt>
                <c:pt idx="56">
                  <c:v>1° Trim 2024</c:v>
                </c:pt>
                <c:pt idx="57">
                  <c:v>2° Trim 2024</c:v>
                </c:pt>
                <c:pt idx="58">
                  <c:v>3° Trim 2024</c:v>
                </c:pt>
                <c:pt idx="59">
                  <c:v>4° Trim 2024</c:v>
                </c:pt>
                <c:pt idx="60">
                  <c:v>1° Trim 2025</c:v>
                </c:pt>
                <c:pt idx="61">
                  <c:v>2° Trim 2025</c:v>
                </c:pt>
                <c:pt idx="62">
                  <c:v>3° Trim 2025</c:v>
                </c:pt>
                <c:pt idx="63">
                  <c:v>4° Trim 2025</c:v>
                </c:pt>
              </c:strCache>
            </c:strRef>
          </c:cat>
          <c:val>
            <c:numRef>
              <c:f>'Gráfico de serie'!$B$2:$B$65</c:f>
              <c:numCache>
                <c:formatCode>#,##0</c:formatCode>
                <c:ptCount val="64"/>
                <c:pt idx="0" formatCode="General">
                  <c:v>982</c:v>
                </c:pt>
                <c:pt idx="1">
                  <c:v>1092</c:v>
                </c:pt>
                <c:pt idx="2">
                  <c:v>1563</c:v>
                </c:pt>
                <c:pt idx="3" formatCode="General">
                  <c:v>916</c:v>
                </c:pt>
                <c:pt idx="4" formatCode="General">
                  <c:v>963</c:v>
                </c:pt>
                <c:pt idx="5" formatCode="General">
                  <c:v>961</c:v>
                </c:pt>
                <c:pt idx="6">
                  <c:v>1588</c:v>
                </c:pt>
                <c:pt idx="7" formatCode="General">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formatCode="General">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val>
          <c:smooth val="0"/>
          <c:extLst>
            <c:ext xmlns:c16="http://schemas.microsoft.com/office/drawing/2014/chart" uri="{C3380CC4-5D6E-409C-BE32-E72D297353CC}">
              <c16:uniqueId val="{00000000-656F-41AC-AFED-F431C333AC29}"/>
            </c:ext>
          </c:extLst>
        </c:ser>
        <c:dLbls>
          <c:showLegendKey val="0"/>
          <c:showVal val="0"/>
          <c:showCatName val="0"/>
          <c:showSerName val="0"/>
          <c:showPercent val="0"/>
          <c:showBubbleSize val="0"/>
        </c:dLbls>
        <c:smooth val="0"/>
        <c:axId val="558482952"/>
        <c:axId val="373319456"/>
      </c:lineChart>
      <c:catAx>
        <c:axId val="558482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73319456"/>
        <c:crosses val="autoZero"/>
        <c:auto val="1"/>
        <c:lblAlgn val="ctr"/>
        <c:lblOffset val="100"/>
        <c:noMultiLvlLbl val="0"/>
      </c:catAx>
      <c:valAx>
        <c:axId val="373319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558482952"/>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295275</xdr:colOff>
      <xdr:row>0</xdr:row>
      <xdr:rowOff>114300</xdr:rowOff>
    </xdr:from>
    <xdr:to>
      <xdr:col>14</xdr:col>
      <xdr:colOff>9525</xdr:colOff>
      <xdr:row>26</xdr:row>
      <xdr:rowOff>171450</xdr:rowOff>
    </xdr:to>
    <xdr:graphicFrame macro="">
      <xdr:nvGraphicFramePr>
        <xdr:cNvPr id="3" name="Gráfico 2">
          <a:extLst>
            <a:ext uri="{FF2B5EF4-FFF2-40B4-BE49-F238E27FC236}">
              <a16:creationId xmlns:a16="http://schemas.microsoft.com/office/drawing/2014/main" id="{BC01E5A4-E7B0-3921-B531-9B37BCF752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DE37B-0679-4DB1-B0A5-BAAC4F4B7FC4}" name="Tabla1" displayName="Tabla1" ref="A1:B65" totalsRowShown="0">
  <autoFilter ref="A1:B65" xr:uid="{44CDE37B-0679-4DB1-B0A5-BAAC4F4B7FC4}"/>
  <tableColumns count="2">
    <tableColumn id="1" xr3:uid="{B96E3FAA-E12B-4C8F-AFC7-34484D39C534}" name="Columna1" dataDxfId="1"/>
    <tableColumn id="3" xr3:uid="{3D3F0844-8397-416F-B61E-E2A4B4646AD4}" name="Servicios para prácticas deportivas"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D1890-8873-45A9-8A9E-A10F689EDD05}">
  <dimension ref="A1:P117"/>
  <sheetViews>
    <sheetView zoomScale="80" zoomScaleNormal="80" workbookViewId="0">
      <selection activeCell="P16" sqref="P16"/>
    </sheetView>
  </sheetViews>
  <sheetFormatPr baseColWidth="10" defaultRowHeight="15" x14ac:dyDescent="0.25"/>
  <cols>
    <col min="2" max="2" width="12" customWidth="1"/>
    <col min="15" max="16" width="12.7109375" bestFit="1" customWidth="1"/>
  </cols>
  <sheetData>
    <row r="1" spans="1:16" ht="15.75" thickBot="1" x14ac:dyDescent="0.3">
      <c r="A1" s="4" t="s">
        <v>65</v>
      </c>
      <c r="B1" t="s">
        <v>0</v>
      </c>
    </row>
    <row r="2" spans="1:16" ht="15.75" thickBot="1" x14ac:dyDescent="0.3">
      <c r="A2" s="4" t="s">
        <v>1</v>
      </c>
      <c r="B2">
        <v>982</v>
      </c>
      <c r="O2" t="s">
        <v>66</v>
      </c>
      <c r="P2" t="s">
        <v>67</v>
      </c>
    </row>
    <row r="3" spans="1:16" ht="15.75" thickBot="1" x14ac:dyDescent="0.3">
      <c r="A3" s="4" t="s">
        <v>2</v>
      </c>
      <c r="B3" s="1">
        <v>1092</v>
      </c>
      <c r="O3">
        <f>AVERAGE(B2:B65)</f>
        <v>1238.203125</v>
      </c>
      <c r="P3">
        <f>STDEVA(B2:B65)</f>
        <v>201.24976030252907</v>
      </c>
    </row>
    <row r="4" spans="1:16" ht="15.75" thickBot="1" x14ac:dyDescent="0.3">
      <c r="A4" s="4" t="s">
        <v>3</v>
      </c>
      <c r="B4" s="1">
        <v>1563</v>
      </c>
    </row>
    <row r="5" spans="1:16" ht="15.75" thickBot="1" x14ac:dyDescent="0.3">
      <c r="A5" s="4" t="s">
        <v>4</v>
      </c>
      <c r="B5">
        <v>916</v>
      </c>
    </row>
    <row r="6" spans="1:16" ht="15.75" thickBot="1" x14ac:dyDescent="0.3">
      <c r="A6" s="4" t="s">
        <v>5</v>
      </c>
      <c r="B6">
        <v>963</v>
      </c>
    </row>
    <row r="7" spans="1:16" ht="15.75" thickBot="1" x14ac:dyDescent="0.3">
      <c r="A7" s="4" t="s">
        <v>6</v>
      </c>
      <c r="B7">
        <v>961</v>
      </c>
    </row>
    <row r="8" spans="1:16" ht="15.75" thickBot="1" x14ac:dyDescent="0.3">
      <c r="A8" s="4" t="s">
        <v>7</v>
      </c>
      <c r="B8" s="1">
        <v>1588</v>
      </c>
    </row>
    <row r="9" spans="1:16" ht="15.75" thickBot="1" x14ac:dyDescent="0.3">
      <c r="A9" s="4" t="s">
        <v>8</v>
      </c>
      <c r="B9">
        <v>966</v>
      </c>
    </row>
    <row r="10" spans="1:16" ht="15.75" thickBot="1" x14ac:dyDescent="0.3">
      <c r="A10" s="4" t="s">
        <v>9</v>
      </c>
      <c r="B10" s="1">
        <v>1030</v>
      </c>
    </row>
    <row r="11" spans="1:16" ht="15.75" thickBot="1" x14ac:dyDescent="0.3">
      <c r="A11" s="4" t="s">
        <v>10</v>
      </c>
      <c r="B11" s="1">
        <v>1196</v>
      </c>
    </row>
    <row r="12" spans="1:16" ht="15.75" thickBot="1" x14ac:dyDescent="0.3">
      <c r="A12" s="4" t="s">
        <v>11</v>
      </c>
      <c r="B12" s="1">
        <v>1578</v>
      </c>
    </row>
    <row r="13" spans="1:16" ht="15.75" thickBot="1" x14ac:dyDescent="0.3">
      <c r="A13" s="4" t="s">
        <v>12</v>
      </c>
      <c r="B13" s="1">
        <v>1024</v>
      </c>
    </row>
    <row r="14" spans="1:16" ht="15.75" thickBot="1" x14ac:dyDescent="0.3">
      <c r="A14" s="4" t="s">
        <v>13</v>
      </c>
      <c r="B14" s="1">
        <v>1030</v>
      </c>
    </row>
    <row r="15" spans="1:16" ht="15.75" thickBot="1" x14ac:dyDescent="0.3">
      <c r="A15" s="4" t="s">
        <v>14</v>
      </c>
      <c r="B15" s="1">
        <v>1160</v>
      </c>
    </row>
    <row r="16" spans="1:16" ht="15.75" thickBot="1" x14ac:dyDescent="0.3">
      <c r="A16" s="4" t="s">
        <v>15</v>
      </c>
      <c r="B16" s="1">
        <v>1546</v>
      </c>
    </row>
    <row r="17" spans="1:2" ht="15.75" thickBot="1" x14ac:dyDescent="0.3">
      <c r="A17" s="4" t="s">
        <v>16</v>
      </c>
      <c r="B17" s="1">
        <v>1069</v>
      </c>
    </row>
    <row r="18" spans="1:2" ht="15.75" thickBot="1" x14ac:dyDescent="0.3">
      <c r="A18" s="4" t="s">
        <v>17</v>
      </c>
      <c r="B18" s="1">
        <v>1132</v>
      </c>
    </row>
    <row r="19" spans="1:2" ht="15.75" thickBot="1" x14ac:dyDescent="0.3">
      <c r="A19" s="4" t="s">
        <v>18</v>
      </c>
      <c r="B19" s="1">
        <v>1166</v>
      </c>
    </row>
    <row r="20" spans="1:2" ht="15.75" thickBot="1" x14ac:dyDescent="0.3">
      <c r="A20" s="4" t="s">
        <v>19</v>
      </c>
      <c r="B20" s="1">
        <v>1525</v>
      </c>
    </row>
    <row r="21" spans="1:2" ht="15.75" thickBot="1" x14ac:dyDescent="0.3">
      <c r="A21" s="4" t="s">
        <v>20</v>
      </c>
      <c r="B21" s="1">
        <v>1064</v>
      </c>
    </row>
    <row r="22" spans="1:2" ht="15.75" thickBot="1" x14ac:dyDescent="0.3">
      <c r="A22" s="4" t="s">
        <v>21</v>
      </c>
      <c r="B22" s="1">
        <v>1130</v>
      </c>
    </row>
    <row r="23" spans="1:2" ht="15.75" thickBot="1" x14ac:dyDescent="0.3">
      <c r="A23" s="4" t="s">
        <v>22</v>
      </c>
      <c r="B23" s="1">
        <v>1126</v>
      </c>
    </row>
    <row r="24" spans="1:2" ht="15.75" thickBot="1" x14ac:dyDescent="0.3">
      <c r="A24" s="4" t="s">
        <v>23</v>
      </c>
      <c r="B24" s="1">
        <v>1444</v>
      </c>
    </row>
    <row r="25" spans="1:2" ht="15.75" thickBot="1" x14ac:dyDescent="0.3">
      <c r="A25" s="4" t="s">
        <v>24</v>
      </c>
      <c r="B25" s="1">
        <v>1074</v>
      </c>
    </row>
    <row r="26" spans="1:2" ht="15.75" thickBot="1" x14ac:dyDescent="0.3">
      <c r="A26" s="4" t="s">
        <v>25</v>
      </c>
      <c r="B26" s="1">
        <v>1143</v>
      </c>
    </row>
    <row r="27" spans="1:2" ht="15.75" thickBot="1" x14ac:dyDescent="0.3">
      <c r="A27" s="4" t="s">
        <v>26</v>
      </c>
      <c r="B27" s="1">
        <v>1144</v>
      </c>
    </row>
    <row r="28" spans="1:2" ht="15.75" thickBot="1" x14ac:dyDescent="0.3">
      <c r="A28" s="4" t="s">
        <v>27</v>
      </c>
      <c r="B28" s="1">
        <v>1502</v>
      </c>
    </row>
    <row r="29" spans="1:2" ht="15.75" thickBot="1" x14ac:dyDescent="0.3">
      <c r="A29" s="4" t="s">
        <v>28</v>
      </c>
      <c r="B29" s="1">
        <v>1178</v>
      </c>
    </row>
    <row r="30" spans="1:2" ht="15.75" thickBot="1" x14ac:dyDescent="0.3">
      <c r="A30" s="4" t="s">
        <v>29</v>
      </c>
      <c r="B30" s="1">
        <v>1200</v>
      </c>
    </row>
    <row r="31" spans="1:2" ht="15.75" thickBot="1" x14ac:dyDescent="0.3">
      <c r="A31" s="4" t="s">
        <v>30</v>
      </c>
      <c r="B31" s="1">
        <v>1222</v>
      </c>
    </row>
    <row r="32" spans="1:2" ht="15.75" thickBot="1" x14ac:dyDescent="0.3">
      <c r="A32" s="4" t="s">
        <v>31</v>
      </c>
      <c r="B32" s="1">
        <v>1597</v>
      </c>
    </row>
    <row r="33" spans="1:2" ht="15.75" thickBot="1" x14ac:dyDescent="0.3">
      <c r="A33" s="4" t="s">
        <v>32</v>
      </c>
      <c r="B33" s="1">
        <v>1185</v>
      </c>
    </row>
    <row r="34" spans="1:2" ht="15.75" thickBot="1" x14ac:dyDescent="0.3">
      <c r="A34" s="4" t="s">
        <v>33</v>
      </c>
      <c r="B34" s="1">
        <v>1217</v>
      </c>
    </row>
    <row r="35" spans="1:2" ht="15.75" thickBot="1" x14ac:dyDescent="0.3">
      <c r="A35" s="4" t="s">
        <v>34</v>
      </c>
      <c r="B35" s="1">
        <v>1211</v>
      </c>
    </row>
    <row r="36" spans="1:2" ht="15.75" thickBot="1" x14ac:dyDescent="0.3">
      <c r="A36" s="4" t="s">
        <v>35</v>
      </c>
      <c r="B36" s="1">
        <v>1557</v>
      </c>
    </row>
    <row r="37" spans="1:2" ht="15.75" thickBot="1" x14ac:dyDescent="0.3">
      <c r="A37" s="4" t="s">
        <v>36</v>
      </c>
      <c r="B37" s="1">
        <v>1179</v>
      </c>
    </row>
    <row r="38" spans="1:2" ht="15.75" thickBot="1" x14ac:dyDescent="0.3">
      <c r="A38" s="4" t="s">
        <v>37</v>
      </c>
      <c r="B38" s="1">
        <v>1241</v>
      </c>
    </row>
    <row r="39" spans="1:2" ht="15.75" thickBot="1" x14ac:dyDescent="0.3">
      <c r="A39" s="4" t="s">
        <v>38</v>
      </c>
      <c r="B39" s="1">
        <v>1202</v>
      </c>
    </row>
    <row r="40" spans="1:2" ht="15.75" thickBot="1" x14ac:dyDescent="0.3">
      <c r="A40" s="4" t="s">
        <v>39</v>
      </c>
      <c r="B40" s="1">
        <v>1444</v>
      </c>
    </row>
    <row r="41" spans="1:2" ht="15.75" thickBot="1" x14ac:dyDescent="0.3">
      <c r="A41" s="4" t="s">
        <v>40</v>
      </c>
      <c r="B41" s="1">
        <v>1121</v>
      </c>
    </row>
    <row r="42" spans="1:2" ht="15.75" thickBot="1" x14ac:dyDescent="0.3">
      <c r="A42" s="4" t="s">
        <v>41</v>
      </c>
      <c r="B42" s="1">
        <v>1198</v>
      </c>
    </row>
    <row r="43" spans="1:2" ht="15.75" thickBot="1" x14ac:dyDescent="0.3">
      <c r="A43" s="4" t="s">
        <v>42</v>
      </c>
      <c r="B43" s="1">
        <v>1028</v>
      </c>
    </row>
    <row r="44" spans="1:2" ht="15.75" thickBot="1" x14ac:dyDescent="0.3">
      <c r="A44" s="4" t="s">
        <v>43</v>
      </c>
      <c r="B44">
        <v>980</v>
      </c>
    </row>
    <row r="45" spans="1:2" ht="15.75" thickBot="1" x14ac:dyDescent="0.3">
      <c r="A45" s="4" t="s">
        <v>44</v>
      </c>
      <c r="B45" s="1">
        <v>1049</v>
      </c>
    </row>
    <row r="46" spans="1:2" ht="15.75" thickBot="1" x14ac:dyDescent="0.3">
      <c r="A46" s="4" t="s">
        <v>45</v>
      </c>
      <c r="B46" s="1">
        <v>1138</v>
      </c>
    </row>
    <row r="47" spans="1:2" ht="15.75" thickBot="1" x14ac:dyDescent="0.3">
      <c r="A47" s="4" t="s">
        <v>46</v>
      </c>
      <c r="B47" s="1">
        <v>1058</v>
      </c>
    </row>
    <row r="48" spans="1:2" ht="15.75" thickBot="1" x14ac:dyDescent="0.3">
      <c r="A48" s="4" t="s">
        <v>47</v>
      </c>
      <c r="B48" s="1">
        <v>1042</v>
      </c>
    </row>
    <row r="49" spans="1:2" ht="15.75" thickBot="1" x14ac:dyDescent="0.3">
      <c r="A49" s="4" t="s">
        <v>48</v>
      </c>
      <c r="B49" s="1">
        <v>1127</v>
      </c>
    </row>
    <row r="50" spans="1:2" ht="15.75" thickBot="1" x14ac:dyDescent="0.3">
      <c r="A50" s="4" t="s">
        <v>49</v>
      </c>
      <c r="B50" s="1">
        <v>1229</v>
      </c>
    </row>
    <row r="51" spans="1:2" ht="15.75" thickBot="1" x14ac:dyDescent="0.3">
      <c r="A51" s="4" t="s">
        <v>50</v>
      </c>
      <c r="B51" s="1">
        <v>1168</v>
      </c>
    </row>
    <row r="52" spans="1:2" ht="15.75" thickBot="1" x14ac:dyDescent="0.3">
      <c r="A52" s="4" t="s">
        <v>51</v>
      </c>
      <c r="B52" s="1">
        <v>1514</v>
      </c>
    </row>
    <row r="53" spans="1:2" ht="15.75" thickBot="1" x14ac:dyDescent="0.3">
      <c r="A53" s="4" t="s">
        <v>52</v>
      </c>
      <c r="B53" s="1">
        <v>1286</v>
      </c>
    </row>
    <row r="54" spans="1:2" ht="15.75" thickBot="1" x14ac:dyDescent="0.3">
      <c r="A54" s="4" t="s">
        <v>53</v>
      </c>
      <c r="B54" s="1">
        <v>1315</v>
      </c>
    </row>
    <row r="55" spans="1:2" ht="15.75" thickBot="1" x14ac:dyDescent="0.3">
      <c r="A55" s="4" t="s">
        <v>54</v>
      </c>
      <c r="B55" s="1">
        <v>1222</v>
      </c>
    </row>
    <row r="56" spans="1:2" ht="15.75" thickBot="1" x14ac:dyDescent="0.3">
      <c r="A56" s="4" t="s">
        <v>55</v>
      </c>
      <c r="B56" s="1">
        <v>1669</v>
      </c>
    </row>
    <row r="57" spans="1:2" ht="15.75" thickBot="1" x14ac:dyDescent="0.3">
      <c r="A57" s="4" t="s">
        <v>56</v>
      </c>
      <c r="B57" s="1">
        <v>1314</v>
      </c>
    </row>
    <row r="58" spans="1:2" ht="15.75" thickBot="1" x14ac:dyDescent="0.3">
      <c r="A58" s="4" t="s">
        <v>57</v>
      </c>
      <c r="B58" s="1">
        <v>1307</v>
      </c>
    </row>
    <row r="59" spans="1:2" ht="15.75" thickBot="1" x14ac:dyDescent="0.3">
      <c r="A59" s="4" t="s">
        <v>58</v>
      </c>
      <c r="B59" s="1">
        <v>1364</v>
      </c>
    </row>
    <row r="60" spans="1:2" ht="15.75" thickBot="1" x14ac:dyDescent="0.3">
      <c r="A60" s="4" t="s">
        <v>59</v>
      </c>
      <c r="B60" s="1">
        <v>1684</v>
      </c>
    </row>
    <row r="61" spans="1:2" ht="15.75" thickBot="1" x14ac:dyDescent="0.3">
      <c r="A61" s="4" t="s">
        <v>60</v>
      </c>
      <c r="B61" s="1">
        <v>1283</v>
      </c>
    </row>
    <row r="62" spans="1:2" ht="15.75" thickBot="1" x14ac:dyDescent="0.3">
      <c r="A62" s="4" t="s">
        <v>61</v>
      </c>
      <c r="B62" s="1">
        <v>1363</v>
      </c>
    </row>
    <row r="63" spans="1:2" ht="15.75" thickBot="1" x14ac:dyDescent="0.3">
      <c r="A63" s="3" t="s">
        <v>62</v>
      </c>
      <c r="B63" s="1">
        <v>1342</v>
      </c>
    </row>
    <row r="64" spans="1:2" ht="15.75" thickBot="1" x14ac:dyDescent="0.3">
      <c r="A64" s="4" t="s">
        <v>63</v>
      </c>
      <c r="B64" s="1">
        <v>1618</v>
      </c>
    </row>
    <row r="65" spans="1:2" ht="15.75" thickBot="1" x14ac:dyDescent="0.3">
      <c r="A65" s="4" t="s">
        <v>64</v>
      </c>
      <c r="B65" s="1">
        <v>1279</v>
      </c>
    </row>
    <row r="66" spans="1:2" ht="15.75" thickBot="1" x14ac:dyDescent="0.3">
      <c r="A66" s="2"/>
    </row>
    <row r="67" spans="1:2" ht="15.75" thickBot="1" x14ac:dyDescent="0.3">
      <c r="A67" s="2"/>
    </row>
    <row r="68" spans="1:2" ht="15.75" thickBot="1" x14ac:dyDescent="0.3">
      <c r="A68" s="2"/>
    </row>
    <row r="69" spans="1:2" ht="15.75" thickBot="1" x14ac:dyDescent="0.3">
      <c r="A69" s="2"/>
    </row>
    <row r="70" spans="1:2" ht="15.75" thickBot="1" x14ac:dyDescent="0.3">
      <c r="A70" s="2"/>
    </row>
    <row r="71" spans="1:2" ht="15.75" thickBot="1" x14ac:dyDescent="0.3">
      <c r="A71" s="2"/>
    </row>
    <row r="72" spans="1:2" ht="15.75" thickBot="1" x14ac:dyDescent="0.3">
      <c r="A72" s="2"/>
    </row>
    <row r="73" spans="1:2" ht="15.75" thickBot="1" x14ac:dyDescent="0.3">
      <c r="A73" s="2"/>
    </row>
    <row r="74" spans="1:2" ht="15.75" thickBot="1" x14ac:dyDescent="0.3">
      <c r="A74" s="2"/>
    </row>
    <row r="75" spans="1:2" ht="15.75" thickBot="1" x14ac:dyDescent="0.3">
      <c r="A75" s="2"/>
    </row>
    <row r="76" spans="1:2" ht="15.75" thickBot="1" x14ac:dyDescent="0.3">
      <c r="A76" s="2"/>
    </row>
    <row r="77" spans="1:2" ht="15.75" thickBot="1" x14ac:dyDescent="0.3">
      <c r="A77" s="2"/>
    </row>
    <row r="78" spans="1:2" ht="15.75" thickBot="1" x14ac:dyDescent="0.3">
      <c r="A78" s="2"/>
    </row>
    <row r="79" spans="1:2" ht="15.75" thickBot="1" x14ac:dyDescent="0.3">
      <c r="A79" s="2"/>
    </row>
    <row r="80" spans="1:2" ht="15.75" thickBot="1" x14ac:dyDescent="0.3">
      <c r="A80" s="2"/>
    </row>
    <row r="81" spans="1:1" ht="15.75" thickBot="1" x14ac:dyDescent="0.3">
      <c r="A81" s="2"/>
    </row>
    <row r="82" spans="1:1" ht="15.75" thickBot="1" x14ac:dyDescent="0.3">
      <c r="A82" s="2"/>
    </row>
    <row r="83" spans="1:1" ht="15.75" thickBot="1" x14ac:dyDescent="0.3">
      <c r="A83" s="2"/>
    </row>
    <row r="84" spans="1:1" ht="15.75" thickBot="1" x14ac:dyDescent="0.3">
      <c r="A84" s="2"/>
    </row>
    <row r="85" spans="1:1" ht="15.75" thickBot="1" x14ac:dyDescent="0.3">
      <c r="A85" s="2"/>
    </row>
    <row r="86" spans="1:1" ht="15.75" thickBot="1" x14ac:dyDescent="0.3">
      <c r="A86" s="2"/>
    </row>
    <row r="87" spans="1:1" ht="15.75" thickBot="1" x14ac:dyDescent="0.3">
      <c r="A87" s="2"/>
    </row>
    <row r="88" spans="1:1" ht="15.75" thickBot="1" x14ac:dyDescent="0.3">
      <c r="A88" s="2"/>
    </row>
    <row r="89" spans="1:1" ht="15.75" thickBot="1" x14ac:dyDescent="0.3">
      <c r="A89" s="2"/>
    </row>
    <row r="90" spans="1:1" ht="15.75" thickBot="1" x14ac:dyDescent="0.3">
      <c r="A90" s="2"/>
    </row>
    <row r="91" spans="1:1" ht="15.75" thickBot="1" x14ac:dyDescent="0.3">
      <c r="A91" s="2"/>
    </row>
    <row r="92" spans="1:1" ht="15.75" thickBot="1" x14ac:dyDescent="0.3">
      <c r="A92" s="2"/>
    </row>
    <row r="93" spans="1:1" ht="15.75" thickBot="1" x14ac:dyDescent="0.3">
      <c r="A93" s="2"/>
    </row>
    <row r="94" spans="1:1" ht="15.75" thickBot="1" x14ac:dyDescent="0.3">
      <c r="A94" s="2"/>
    </row>
    <row r="95" spans="1:1" ht="15.75" thickBot="1" x14ac:dyDescent="0.3">
      <c r="A95" s="2"/>
    </row>
    <row r="96" spans="1:1" ht="15.75" thickBot="1" x14ac:dyDescent="0.3">
      <c r="A96" s="2"/>
    </row>
    <row r="97" spans="1:1" ht="15.75" thickBot="1" x14ac:dyDescent="0.3">
      <c r="A97" s="2"/>
    </row>
    <row r="98" spans="1:1" ht="15.75" thickBot="1" x14ac:dyDescent="0.3">
      <c r="A98" s="2"/>
    </row>
    <row r="99" spans="1:1" ht="15.75" thickBot="1" x14ac:dyDescent="0.3">
      <c r="A99" s="2"/>
    </row>
    <row r="100" spans="1:1" ht="15.75" thickBot="1" x14ac:dyDescent="0.3">
      <c r="A100" s="2"/>
    </row>
    <row r="101" spans="1:1" ht="15.75" thickBot="1" x14ac:dyDescent="0.3">
      <c r="A101" s="2"/>
    </row>
    <row r="102" spans="1:1" ht="15.75" thickBot="1" x14ac:dyDescent="0.3">
      <c r="A102" s="2"/>
    </row>
    <row r="103" spans="1:1" ht="15.75" thickBot="1" x14ac:dyDescent="0.3">
      <c r="A103" s="2"/>
    </row>
    <row r="104" spans="1:1" ht="15.75" thickBot="1" x14ac:dyDescent="0.3">
      <c r="A104" s="2"/>
    </row>
    <row r="105" spans="1:1" ht="15.75" thickBot="1" x14ac:dyDescent="0.3">
      <c r="A105" s="2"/>
    </row>
    <row r="106" spans="1:1" ht="15.75" thickBot="1" x14ac:dyDescent="0.3">
      <c r="A106" s="2"/>
    </row>
    <row r="107" spans="1:1" ht="15.75" thickBot="1" x14ac:dyDescent="0.3">
      <c r="A107" s="2"/>
    </row>
    <row r="108" spans="1:1" ht="15.75" thickBot="1" x14ac:dyDescent="0.3">
      <c r="A108" s="2"/>
    </row>
    <row r="109" spans="1:1" ht="15.75" thickBot="1" x14ac:dyDescent="0.3">
      <c r="A109" s="2"/>
    </row>
    <row r="110" spans="1:1" ht="15.75" thickBot="1" x14ac:dyDescent="0.3">
      <c r="A110" s="2"/>
    </row>
    <row r="111" spans="1:1" ht="15.75" thickBot="1" x14ac:dyDescent="0.3">
      <c r="A111" s="2"/>
    </row>
    <row r="112" spans="1:1" ht="15.75" thickBot="1" x14ac:dyDescent="0.3">
      <c r="A112" s="2"/>
    </row>
    <row r="113" spans="1:1" ht="15.75" thickBot="1" x14ac:dyDescent="0.3">
      <c r="A113" s="2"/>
    </row>
    <row r="114" spans="1:1" ht="15.75" thickBot="1" x14ac:dyDescent="0.3">
      <c r="A114" s="2"/>
    </row>
    <row r="115" spans="1:1" ht="15.75" thickBot="1" x14ac:dyDescent="0.3">
      <c r="A115" s="2"/>
    </row>
    <row r="116" spans="1:1" ht="15.75" thickBot="1" x14ac:dyDescent="0.3">
      <c r="A116" s="2"/>
    </row>
    <row r="117" spans="1:1" ht="15.75" thickBot="1" x14ac:dyDescent="0.3">
      <c r="A117" s="2"/>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CAE5E-8197-4685-92AD-AB12420A82F1}">
  <dimension ref="A1:O23"/>
  <sheetViews>
    <sheetView tabSelected="1" workbookViewId="0">
      <selection activeCell="I8" sqref="I8"/>
    </sheetView>
  </sheetViews>
  <sheetFormatPr baseColWidth="10" defaultRowHeight="15" x14ac:dyDescent="0.25"/>
  <sheetData>
    <row r="1" spans="1:15" ht="15" customHeight="1" x14ac:dyDescent="0.25">
      <c r="A1" s="8" t="s">
        <v>69</v>
      </c>
      <c r="B1" s="8"/>
      <c r="C1" s="8"/>
      <c r="D1" s="8"/>
      <c r="E1" s="8"/>
      <c r="F1" s="8"/>
      <c r="G1" s="8"/>
      <c r="H1" s="5"/>
      <c r="I1" s="7" t="s">
        <v>70</v>
      </c>
      <c r="J1" s="7"/>
      <c r="K1" s="7"/>
      <c r="L1" s="7"/>
      <c r="M1" s="7"/>
      <c r="N1" s="7"/>
      <c r="O1" s="7"/>
    </row>
    <row r="2" spans="1:15" x14ac:dyDescent="0.25">
      <c r="A2" s="8"/>
      <c r="B2" s="8"/>
      <c r="C2" s="8"/>
      <c r="D2" s="8"/>
      <c r="E2" s="8"/>
      <c r="F2" s="8"/>
      <c r="G2" s="8"/>
      <c r="H2" s="5"/>
      <c r="I2" s="7"/>
      <c r="J2" s="7"/>
      <c r="K2" s="7"/>
      <c r="L2" s="7"/>
      <c r="M2" s="7"/>
      <c r="N2" s="7"/>
      <c r="O2" s="7"/>
    </row>
    <row r="3" spans="1:15" ht="15" customHeight="1" x14ac:dyDescent="0.25">
      <c r="A3" s="6" t="s">
        <v>68</v>
      </c>
      <c r="B3" s="6"/>
      <c r="C3" s="6"/>
      <c r="D3" s="6"/>
      <c r="E3" s="6"/>
      <c r="F3" s="6"/>
      <c r="G3" s="6"/>
      <c r="H3" s="5"/>
      <c r="I3" s="6" t="s">
        <v>71</v>
      </c>
      <c r="J3" s="6"/>
      <c r="K3" s="6"/>
      <c r="L3" s="6"/>
      <c r="M3" s="6"/>
      <c r="N3" s="6"/>
      <c r="O3" s="6"/>
    </row>
    <row r="4" spans="1:15" ht="409.5" customHeight="1" x14ac:dyDescent="0.25">
      <c r="A4" s="6"/>
      <c r="B4" s="6"/>
      <c r="C4" s="6"/>
      <c r="D4" s="6"/>
      <c r="E4" s="6"/>
      <c r="F4" s="6"/>
      <c r="G4" s="6"/>
      <c r="H4" s="5"/>
      <c r="I4" s="6"/>
      <c r="J4" s="6"/>
      <c r="K4" s="6"/>
      <c r="L4" s="6"/>
      <c r="M4" s="6"/>
      <c r="N4" s="6"/>
      <c r="O4" s="6"/>
    </row>
    <row r="5" spans="1:15" x14ac:dyDescent="0.25">
      <c r="A5" s="6"/>
      <c r="B5" s="6"/>
      <c r="C5" s="6"/>
      <c r="D5" s="6"/>
      <c r="E5" s="6"/>
      <c r="F5" s="6"/>
      <c r="G5" s="6"/>
      <c r="H5" s="5"/>
      <c r="I5" s="6"/>
      <c r="J5" s="6"/>
      <c r="K5" s="6"/>
      <c r="L5" s="6"/>
      <c r="M5" s="6"/>
      <c r="N5" s="6"/>
      <c r="O5" s="6"/>
    </row>
    <row r="6" spans="1:15" x14ac:dyDescent="0.25">
      <c r="A6" s="6"/>
      <c r="B6" s="6"/>
      <c r="C6" s="6"/>
      <c r="D6" s="6"/>
      <c r="E6" s="6"/>
      <c r="F6" s="6"/>
      <c r="G6" s="6"/>
      <c r="H6" s="5"/>
      <c r="I6" s="6"/>
      <c r="J6" s="6"/>
      <c r="K6" s="6"/>
      <c r="L6" s="6"/>
      <c r="M6" s="6"/>
      <c r="N6" s="6"/>
      <c r="O6" s="6"/>
    </row>
    <row r="7" spans="1:15" x14ac:dyDescent="0.25">
      <c r="A7" s="6"/>
      <c r="B7" s="6"/>
      <c r="C7" s="6"/>
      <c r="D7" s="6"/>
      <c r="E7" s="6"/>
      <c r="F7" s="6"/>
      <c r="G7" s="6"/>
      <c r="H7" s="5"/>
      <c r="I7" s="6"/>
      <c r="J7" s="6"/>
      <c r="K7" s="6"/>
      <c r="L7" s="6"/>
      <c r="M7" s="6"/>
      <c r="N7" s="6"/>
      <c r="O7" s="6"/>
    </row>
    <row r="8" spans="1:15" x14ac:dyDescent="0.25">
      <c r="A8" s="5"/>
      <c r="B8" s="5"/>
      <c r="C8" s="5"/>
      <c r="D8" s="5"/>
      <c r="E8" s="5"/>
      <c r="F8" s="5"/>
      <c r="G8" s="5"/>
      <c r="H8" s="5"/>
      <c r="I8" s="5"/>
      <c r="J8" s="5"/>
    </row>
    <row r="9" spans="1:15" x14ac:dyDescent="0.25">
      <c r="A9" s="5"/>
      <c r="B9" s="5"/>
      <c r="C9" s="5"/>
      <c r="D9" s="5"/>
      <c r="E9" s="5"/>
      <c r="F9" s="5"/>
      <c r="G9" s="5"/>
      <c r="H9" s="5"/>
      <c r="I9" s="5"/>
      <c r="J9" s="5"/>
    </row>
    <row r="10" spans="1:15" x14ac:dyDescent="0.25">
      <c r="A10" s="5"/>
      <c r="B10" s="5"/>
      <c r="C10" s="5"/>
      <c r="D10" s="5"/>
      <c r="E10" s="5"/>
      <c r="F10" s="5"/>
      <c r="G10" s="5"/>
      <c r="H10" s="5"/>
      <c r="I10" s="5"/>
      <c r="J10" s="5"/>
    </row>
    <row r="11" spans="1:15" x14ac:dyDescent="0.25">
      <c r="A11" s="5"/>
      <c r="B11" s="5"/>
      <c r="C11" s="5"/>
      <c r="D11" s="5"/>
      <c r="E11" s="5"/>
      <c r="F11" s="5"/>
      <c r="G11" s="5"/>
      <c r="H11" s="5"/>
      <c r="I11" s="5"/>
      <c r="J11" s="5"/>
    </row>
    <row r="12" spans="1:15" x14ac:dyDescent="0.25">
      <c r="A12" s="5"/>
      <c r="B12" s="5"/>
      <c r="C12" s="5"/>
      <c r="D12" s="5"/>
      <c r="E12" s="5"/>
      <c r="F12" s="5"/>
      <c r="G12" s="5"/>
      <c r="H12" s="5"/>
      <c r="I12" s="5"/>
      <c r="J12" s="5"/>
    </row>
    <row r="13" spans="1:15" x14ac:dyDescent="0.25">
      <c r="A13" s="5"/>
      <c r="B13" s="5"/>
      <c r="C13" s="5"/>
      <c r="D13" s="5"/>
      <c r="E13" s="5"/>
      <c r="F13" s="5"/>
      <c r="G13" s="5"/>
      <c r="H13" s="5"/>
      <c r="I13" s="5"/>
      <c r="J13" s="5"/>
    </row>
    <row r="14" spans="1:15" x14ac:dyDescent="0.25">
      <c r="A14" s="5"/>
      <c r="B14" s="5"/>
      <c r="C14" s="5"/>
      <c r="D14" s="5"/>
      <c r="E14" s="5"/>
      <c r="F14" s="5"/>
      <c r="G14" s="5"/>
      <c r="H14" s="5"/>
      <c r="I14" s="5"/>
      <c r="J14" s="5"/>
    </row>
    <row r="15" spans="1:15" x14ac:dyDescent="0.25">
      <c r="A15" s="5"/>
      <c r="B15" s="5"/>
      <c r="C15" s="5"/>
      <c r="D15" s="5"/>
      <c r="E15" s="5"/>
      <c r="F15" s="5"/>
      <c r="G15" s="5"/>
      <c r="H15" s="5"/>
      <c r="I15" s="5"/>
      <c r="J15" s="5"/>
    </row>
    <row r="16" spans="1:15" x14ac:dyDescent="0.25">
      <c r="A16" s="5"/>
      <c r="B16" s="5"/>
      <c r="C16" s="5"/>
      <c r="D16" s="5"/>
      <c r="E16" s="5"/>
      <c r="F16" s="5"/>
      <c r="G16" s="5"/>
      <c r="H16" s="5"/>
      <c r="I16" s="5"/>
      <c r="J16" s="5"/>
    </row>
    <row r="17" spans="1:10" x14ac:dyDescent="0.25">
      <c r="A17" s="5"/>
      <c r="B17" s="5"/>
      <c r="C17" s="5"/>
      <c r="D17" s="5"/>
      <c r="E17" s="5"/>
      <c r="F17" s="5"/>
      <c r="G17" s="5"/>
      <c r="H17" s="5"/>
      <c r="I17" s="5"/>
      <c r="J17" s="5"/>
    </row>
    <row r="18" spans="1:10" x14ac:dyDescent="0.25">
      <c r="A18" s="5"/>
      <c r="B18" s="5"/>
      <c r="C18" s="5"/>
      <c r="D18" s="5"/>
      <c r="E18" s="5"/>
      <c r="F18" s="5"/>
      <c r="G18" s="5"/>
      <c r="H18" s="5"/>
      <c r="I18" s="5"/>
      <c r="J18" s="5"/>
    </row>
    <row r="19" spans="1:10" x14ac:dyDescent="0.25">
      <c r="A19" s="5"/>
      <c r="B19" s="5"/>
      <c r="C19" s="5"/>
      <c r="D19" s="5"/>
      <c r="E19" s="5"/>
      <c r="F19" s="5"/>
      <c r="G19" s="5"/>
      <c r="H19" s="5"/>
      <c r="I19" s="5"/>
      <c r="J19" s="5"/>
    </row>
    <row r="20" spans="1:10" x14ac:dyDescent="0.25">
      <c r="A20" s="5"/>
      <c r="B20" s="5"/>
      <c r="C20" s="5"/>
      <c r="D20" s="5"/>
      <c r="E20" s="5"/>
      <c r="F20" s="5"/>
      <c r="G20" s="5"/>
      <c r="H20" s="5"/>
      <c r="I20" s="5"/>
      <c r="J20" s="5"/>
    </row>
    <row r="21" spans="1:10" x14ac:dyDescent="0.25">
      <c r="A21" s="5"/>
      <c r="B21" s="5"/>
      <c r="C21" s="5"/>
      <c r="D21" s="5"/>
      <c r="E21" s="5"/>
      <c r="F21" s="5"/>
      <c r="G21" s="5"/>
      <c r="H21" s="5"/>
      <c r="I21" s="5"/>
      <c r="J21" s="5"/>
    </row>
    <row r="22" spans="1:10" x14ac:dyDescent="0.25">
      <c r="A22" s="5"/>
      <c r="B22" s="5"/>
      <c r="C22" s="5"/>
      <c r="D22" s="5"/>
      <c r="E22" s="5"/>
      <c r="F22" s="5"/>
      <c r="G22" s="5"/>
      <c r="H22" s="5"/>
      <c r="I22" s="5"/>
      <c r="J22" s="5"/>
    </row>
    <row r="23" spans="1:10" x14ac:dyDescent="0.25">
      <c r="A23" s="5"/>
      <c r="B23" s="5"/>
      <c r="C23" s="5"/>
      <c r="D23" s="5"/>
      <c r="E23" s="5"/>
      <c r="F23" s="5"/>
      <c r="G23" s="5"/>
      <c r="H23" s="5"/>
      <c r="I23" s="5"/>
      <c r="J23" s="5"/>
    </row>
  </sheetData>
  <mergeCells count="4">
    <mergeCell ref="A3:G7"/>
    <mergeCell ref="A1:G2"/>
    <mergeCell ref="I1:O2"/>
    <mergeCell ref="I3:O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49CB9-C312-464A-A04E-A51CC37D7E0E}">
  <dimension ref="A1"/>
  <sheetViews>
    <sheetView workbookViewId="0">
      <selection activeCell="H9" sqref="H9"/>
    </sheetView>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Gráfico de serie</vt:lpstr>
      <vt:lpstr>Análisis de Serie</vt:lpstr>
      <vt:lpstr>Hoja4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Matzkin</dc:creator>
  <cp:lastModifiedBy>Facundo Matzkin</cp:lastModifiedBy>
  <dcterms:created xsi:type="dcterms:W3CDTF">2026-08-11T13:40:35Z</dcterms:created>
  <dcterms:modified xsi:type="dcterms:W3CDTF">2026-08-12T11:01:46Z</dcterms:modified>
</cp:coreProperties>
</file>